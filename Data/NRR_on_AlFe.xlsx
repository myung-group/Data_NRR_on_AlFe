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연구\NRR\기범\NRR\manuscripts\"/>
    </mc:Choice>
  </mc:AlternateContent>
  <xr:revisionPtr revIDLastSave="0" documentId="13_ncr:1_{8622CD55-55F7-45BB-B8AB-04049493285B}" xr6:coauthVersionLast="47" xr6:coauthVersionMax="47" xr10:uidLastSave="{00000000-0000-0000-0000-000000000000}"/>
  <bookViews>
    <workbookView xWindow="-75" yWindow="-16320" windowWidth="29040" windowHeight="15720" tabRatio="500" xr2:uid="{00000000-000D-0000-FFFF-FFFF00000000}"/>
  </bookViews>
  <sheets>
    <sheet name="Al" sheetId="1" r:id="rId1"/>
    <sheet name="FeAl" sheetId="2" r:id="rId2"/>
    <sheet name="Fe2Al" sheetId="3" r:id="rId3"/>
    <sheet name="Fe3Al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4" l="1"/>
  <c r="G20" i="4" s="1"/>
  <c r="B20" i="4"/>
  <c r="G18" i="4"/>
  <c r="F18" i="4"/>
  <c r="G17" i="4"/>
  <c r="F17" i="4"/>
  <c r="G16" i="4"/>
  <c r="F16" i="4"/>
  <c r="G15" i="4"/>
  <c r="F15" i="4"/>
  <c r="G13" i="4"/>
  <c r="F13" i="4"/>
  <c r="G12" i="4"/>
  <c r="F12" i="4"/>
  <c r="F11" i="4"/>
  <c r="G11" i="4" s="1"/>
  <c r="G10" i="4"/>
  <c r="F10" i="4"/>
  <c r="G9" i="4"/>
  <c r="F9" i="4"/>
  <c r="G8" i="4"/>
  <c r="F8" i="4"/>
  <c r="G7" i="4"/>
  <c r="F7" i="4"/>
  <c r="G6" i="4"/>
  <c r="F6" i="4"/>
  <c r="G5" i="4"/>
  <c r="F5" i="4"/>
  <c r="F4" i="4"/>
  <c r="G4" i="4" s="1"/>
  <c r="F3" i="4"/>
  <c r="G3" i="4" s="1"/>
  <c r="G2" i="4"/>
  <c r="F2" i="4"/>
  <c r="B21" i="3"/>
  <c r="F19" i="3"/>
  <c r="G19" i="3" s="1"/>
  <c r="F18" i="3"/>
  <c r="G18" i="3" s="1"/>
  <c r="F17" i="3"/>
  <c r="F21" i="3" s="1"/>
  <c r="G21" i="3" s="1"/>
  <c r="F16" i="3"/>
  <c r="G16" i="3" s="1"/>
  <c r="F14" i="3"/>
  <c r="G13" i="3"/>
  <c r="F13" i="3"/>
  <c r="F12" i="3"/>
  <c r="F11" i="3"/>
  <c r="G11" i="3" s="1"/>
  <c r="G10" i="3"/>
  <c r="F10" i="3"/>
  <c r="F9" i="3"/>
  <c r="G9" i="3" s="1"/>
  <c r="F8" i="3"/>
  <c r="G8" i="3" s="1"/>
  <c r="F7" i="3"/>
  <c r="G7" i="3" s="1"/>
  <c r="G6" i="3"/>
  <c r="F6" i="3"/>
  <c r="F5" i="3"/>
  <c r="G5" i="3" s="1"/>
  <c r="G4" i="3"/>
  <c r="F4" i="3"/>
  <c r="G3" i="3"/>
  <c r="F3" i="3"/>
  <c r="G2" i="3"/>
  <c r="F2" i="3"/>
  <c r="F24" i="2"/>
  <c r="G24" i="2" s="1"/>
  <c r="B24" i="2"/>
  <c r="F22" i="2"/>
  <c r="G22" i="2" s="1"/>
  <c r="F21" i="2"/>
  <c r="G21" i="2" s="1"/>
  <c r="G20" i="2"/>
  <c r="F20" i="2"/>
  <c r="G19" i="2"/>
  <c r="F19" i="2"/>
  <c r="F17" i="2"/>
  <c r="G17" i="2" s="1"/>
  <c r="F16" i="2"/>
  <c r="F15" i="2"/>
  <c r="F14" i="2"/>
  <c r="G14" i="2" s="1"/>
  <c r="F13" i="2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G5" i="2"/>
  <c r="F5" i="2"/>
  <c r="G4" i="2"/>
  <c r="F4" i="2"/>
  <c r="G3" i="2"/>
  <c r="F3" i="2"/>
  <c r="F2" i="2"/>
  <c r="G2" i="2" s="1"/>
  <c r="B25" i="1"/>
  <c r="G23" i="1"/>
  <c r="F23" i="1"/>
  <c r="F22" i="1"/>
  <c r="G22" i="1" s="1"/>
  <c r="F21" i="1"/>
  <c r="G21" i="1" s="1"/>
  <c r="G20" i="1"/>
  <c r="F20" i="1"/>
  <c r="G18" i="1"/>
  <c r="F18" i="1"/>
  <c r="F17" i="1"/>
  <c r="G17" i="1" s="1"/>
  <c r="F16" i="1"/>
  <c r="G15" i="1"/>
  <c r="F15" i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G8" i="1"/>
  <c r="F8" i="1"/>
  <c r="F7" i="1"/>
  <c r="G7" i="1" s="1"/>
  <c r="F6" i="1"/>
  <c r="G6" i="1" s="1"/>
  <c r="G5" i="1"/>
  <c r="F5" i="1"/>
  <c r="G4" i="1"/>
  <c r="F4" i="1"/>
  <c r="F3" i="1"/>
  <c r="G3" i="1" s="1"/>
  <c r="F2" i="1"/>
  <c r="G2" i="1" s="1"/>
  <c r="G15" i="2" l="1"/>
  <c r="G14" i="3"/>
  <c r="G16" i="2"/>
  <c r="F25" i="1"/>
  <c r="G17" i="3"/>
  <c r="G16" i="1"/>
  <c r="G12" i="3"/>
  <c r="G13" i="2"/>
  <c r="G25" i="1" l="1"/>
</calcChain>
</file>

<file path=xl/sharedStrings.xml><?xml version="1.0" encoding="utf-8"?>
<sst xmlns="http://schemas.openxmlformats.org/spreadsheetml/2006/main" count="114" uniqueCount="43">
  <si>
    <t>Symbols</t>
  </si>
  <si>
    <t>E(DFT)</t>
  </si>
  <si>
    <t>ZPE</t>
  </si>
  <si>
    <t>TS</t>
  </si>
  <si>
    <t>dH</t>
  </si>
  <si>
    <t>G</t>
  </si>
  <si>
    <t>G-E(DFT)</t>
  </si>
  <si>
    <t>*N*OO</t>
  </si>
  <si>
    <t>N*O2</t>
  </si>
  <si>
    <t>*NO2H</t>
  </si>
  <si>
    <t>*N*OOH</t>
  </si>
  <si>
    <t>*NO</t>
  </si>
  <si>
    <t>*O*N</t>
  </si>
  <si>
    <t>*NOH</t>
  </si>
  <si>
    <t>*O*NH</t>
  </si>
  <si>
    <t>*N</t>
  </si>
  <si>
    <t>*O*NH2</t>
  </si>
  <si>
    <t>*ONH2</t>
  </si>
  <si>
    <t>*NH</t>
  </si>
  <si>
    <t>*O-1</t>
  </si>
  <si>
    <t>*O</t>
  </si>
  <si>
    <t>*O-2</t>
  </si>
  <si>
    <t>*NH2</t>
  </si>
  <si>
    <t>*OH-1</t>
  </si>
  <si>
    <t>*OH-2</t>
  </si>
  <si>
    <t>*</t>
  </si>
  <si>
    <t>HNO3</t>
  </si>
  <si>
    <t>H2</t>
  </si>
  <si>
    <t>NH3</t>
  </si>
  <si>
    <t>H2O</t>
  </si>
  <si>
    <t>H</t>
  </si>
  <si>
    <t>*NO-*OH</t>
  </si>
  <si>
    <t>*NH-*O</t>
  </si>
  <si>
    <t>*NH-*OH</t>
  </si>
  <si>
    <t>*OH</t>
  </si>
  <si>
    <t>N*O2-1</t>
  </si>
  <si>
    <t>N*O2-2</t>
  </si>
  <si>
    <t>N*O2-3</t>
  </si>
  <si>
    <t>Note</t>
    <phoneticPr fontId="1" type="noConversion"/>
  </si>
  <si>
    <t>Al(111)</t>
    <phoneticPr fontId="1" type="noConversion"/>
  </si>
  <si>
    <t>FeAl(111)</t>
    <phoneticPr fontId="1" type="noConversion"/>
  </si>
  <si>
    <t>Fe2Al(111)</t>
    <phoneticPr fontId="1" type="noConversion"/>
  </si>
  <si>
    <t>Fe3Al(111)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</si>
</sst>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맑은 고딕"/>
      <family val="2"/>
      <charset val="1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Normal="100" workbookViewId="0">
      <selection activeCell="C29" sqref="C29"/>
    </sheetView>
  </sheetViews>
  <sheetFormatPr defaultColWidth="8.5" defaultRowHeight="16.5" x14ac:dyDescent="0.3"/>
  <cols>
    <col min="1" max="8" width="10.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</v>
      </c>
    </row>
    <row r="2" spans="1:8" x14ac:dyDescent="0.3">
      <c r="A2" t="s">
        <v>7</v>
      </c>
      <c r="B2">
        <v>-309.3888</v>
      </c>
      <c r="C2">
        <v>0.32507999999999998</v>
      </c>
      <c r="D2">
        <v>0.43948999999999999</v>
      </c>
      <c r="E2">
        <v>0.22620000000000001</v>
      </c>
      <c r="F2">
        <f t="shared" ref="F2:F18" si="0">B2+C2-D2+E2</f>
        <v>-309.27700999999996</v>
      </c>
      <c r="G2">
        <f>F2-B2</f>
        <v>0.1117900000000418</v>
      </c>
    </row>
    <row r="3" spans="1:8" x14ac:dyDescent="0.3">
      <c r="A3" t="s">
        <v>8</v>
      </c>
      <c r="B3">
        <v>-309.54262</v>
      </c>
      <c r="C3">
        <v>0.31697999999999998</v>
      </c>
      <c r="D3">
        <v>0.43442999999999998</v>
      </c>
      <c r="E3">
        <v>0.22505</v>
      </c>
      <c r="F3">
        <f t="shared" si="0"/>
        <v>-309.43502000000001</v>
      </c>
      <c r="G3">
        <f>F3-B3</f>
        <v>0.10759999999999081</v>
      </c>
    </row>
    <row r="4" spans="1:8" x14ac:dyDescent="0.3">
      <c r="A4" t="s">
        <v>9</v>
      </c>
      <c r="B4">
        <v>-312.28034000000002</v>
      </c>
      <c r="C4">
        <v>0.56667000000000001</v>
      </c>
      <c r="D4">
        <v>0.34097</v>
      </c>
      <c r="E4">
        <v>0.18368999999999999</v>
      </c>
      <c r="F4">
        <f t="shared" si="0"/>
        <v>-311.87095000000005</v>
      </c>
      <c r="G4">
        <f>F4-B4</f>
        <v>0.4093899999999735</v>
      </c>
    </row>
    <row r="5" spans="1:8" x14ac:dyDescent="0.3">
      <c r="A5" t="s">
        <v>10</v>
      </c>
      <c r="B5">
        <v>-313.36097000000001</v>
      </c>
      <c r="C5">
        <v>0.67574999999999996</v>
      </c>
      <c r="D5">
        <v>0.4798</v>
      </c>
      <c r="E5">
        <v>0.26826</v>
      </c>
      <c r="F5">
        <f t="shared" si="0"/>
        <v>-312.89676000000003</v>
      </c>
      <c r="G5">
        <f>F5-B5</f>
        <v>0.46420999999998003</v>
      </c>
    </row>
    <row r="6" spans="1:8" x14ac:dyDescent="0.3">
      <c r="A6" t="s">
        <v>11</v>
      </c>
      <c r="B6">
        <v>-304.80698000000001</v>
      </c>
      <c r="C6">
        <v>0.24843999999999999</v>
      </c>
      <c r="D6">
        <v>0.43149999999999999</v>
      </c>
      <c r="E6">
        <v>0.23863999999999999</v>
      </c>
      <c r="F6">
        <f t="shared" si="0"/>
        <v>-304.75140000000005</v>
      </c>
      <c r="G6">
        <f>F6-B6</f>
        <v>5.5579999999963547E-2</v>
      </c>
    </row>
    <row r="7" spans="1:8" x14ac:dyDescent="0.3">
      <c r="A7" t="s">
        <v>12</v>
      </c>
      <c r="B7">
        <v>-305.62795999999997</v>
      </c>
      <c r="C7">
        <v>0.27416000000000001</v>
      </c>
      <c r="D7">
        <v>0.40310000000000001</v>
      </c>
      <c r="E7">
        <v>0.22558</v>
      </c>
      <c r="F7">
        <f t="shared" si="0"/>
        <v>-305.53131999999999</v>
      </c>
      <c r="G7">
        <f>F7-B7</f>
        <v>9.6639999999979409E-2</v>
      </c>
    </row>
    <row r="8" spans="1:8" x14ac:dyDescent="0.3">
      <c r="A8" t="s">
        <v>13</v>
      </c>
      <c r="B8">
        <v>-309.17500999999999</v>
      </c>
      <c r="C8">
        <v>0.56613999999999998</v>
      </c>
      <c r="D8">
        <v>0.45140000000000002</v>
      </c>
      <c r="E8">
        <v>0.24912999999999999</v>
      </c>
      <c r="F8">
        <f t="shared" si="0"/>
        <v>-308.81113999999997</v>
      </c>
      <c r="G8">
        <f>F8-B8</f>
        <v>0.3638700000000199</v>
      </c>
    </row>
    <row r="9" spans="1:8" x14ac:dyDescent="0.3">
      <c r="A9" t="s">
        <v>14</v>
      </c>
      <c r="B9">
        <v>-309.77118999999999</v>
      </c>
      <c r="C9">
        <v>0.60907</v>
      </c>
      <c r="D9">
        <v>0.39527000000000001</v>
      </c>
      <c r="E9">
        <v>0.22559999999999999</v>
      </c>
      <c r="F9">
        <f t="shared" si="0"/>
        <v>-309.33179000000001</v>
      </c>
      <c r="G9">
        <f>F9-B9</f>
        <v>0.43939999999997781</v>
      </c>
    </row>
    <row r="10" spans="1:8" x14ac:dyDescent="0.3">
      <c r="A10" t="s">
        <v>15</v>
      </c>
      <c r="B10">
        <v>-301.87720000000002</v>
      </c>
      <c r="C10">
        <v>0.1888</v>
      </c>
      <c r="D10">
        <v>0.34392</v>
      </c>
      <c r="E10">
        <v>0.19464999999999999</v>
      </c>
      <c r="F10">
        <f t="shared" si="0"/>
        <v>-301.83767</v>
      </c>
      <c r="G10">
        <f>F10-B10</f>
        <v>3.9530000000013388E-2</v>
      </c>
    </row>
    <row r="11" spans="1:8" x14ac:dyDescent="0.3">
      <c r="A11" t="s">
        <v>16</v>
      </c>
      <c r="B11">
        <v>-313.05311999999998</v>
      </c>
      <c r="C11">
        <v>0.89685999999999999</v>
      </c>
      <c r="D11">
        <v>0.37685000000000002</v>
      </c>
      <c r="E11">
        <v>0.20516000000000001</v>
      </c>
      <c r="F11">
        <f t="shared" si="0"/>
        <v>-312.32794999999999</v>
      </c>
      <c r="G11">
        <f>F11-B11</f>
        <v>0.72516999999999143</v>
      </c>
    </row>
    <row r="12" spans="1:8" x14ac:dyDescent="0.3">
      <c r="A12" t="s">
        <v>18</v>
      </c>
      <c r="B12">
        <v>-306.04955000000001</v>
      </c>
      <c r="C12">
        <v>0.50161</v>
      </c>
      <c r="D12">
        <v>0.33317000000000002</v>
      </c>
      <c r="E12">
        <v>0.19469</v>
      </c>
      <c r="F12">
        <f t="shared" si="0"/>
        <v>-305.68642</v>
      </c>
      <c r="G12">
        <f>F12-B12</f>
        <v>0.36313000000001239</v>
      </c>
    </row>
    <row r="13" spans="1:8" x14ac:dyDescent="0.3">
      <c r="A13" t="s">
        <v>19</v>
      </c>
      <c r="B13">
        <v>-301.41672999999997</v>
      </c>
      <c r="C13">
        <v>0.19178999999999999</v>
      </c>
      <c r="D13">
        <v>0.32862999999999998</v>
      </c>
      <c r="E13">
        <v>0.19066</v>
      </c>
      <c r="F13">
        <f t="shared" si="0"/>
        <v>-301.36290999999994</v>
      </c>
      <c r="G13">
        <f>F13-B13</f>
        <v>5.3820000000030177E-2</v>
      </c>
    </row>
    <row r="14" spans="1:8" x14ac:dyDescent="0.3">
      <c r="A14" t="s">
        <v>21</v>
      </c>
      <c r="B14">
        <v>-301.11025999999998</v>
      </c>
      <c r="C14">
        <v>0.18240999999999999</v>
      </c>
      <c r="D14">
        <v>0.34423999999999999</v>
      </c>
      <c r="E14">
        <v>0.19631999999999999</v>
      </c>
      <c r="F14">
        <f t="shared" si="0"/>
        <v>-301.07576999999998</v>
      </c>
      <c r="G14">
        <f>F14-B14</f>
        <v>3.4490000000005239E-2</v>
      </c>
    </row>
    <row r="15" spans="1:8" x14ac:dyDescent="0.3">
      <c r="A15" t="s">
        <v>22</v>
      </c>
      <c r="B15">
        <v>-309.14298000000002</v>
      </c>
      <c r="C15">
        <v>0.76924999999999999</v>
      </c>
      <c r="D15">
        <v>0.29364000000000001</v>
      </c>
      <c r="E15">
        <v>0.17015</v>
      </c>
      <c r="F15">
        <f t="shared" si="0"/>
        <v>-308.49722000000003</v>
      </c>
      <c r="G15">
        <f>F15-B15</f>
        <v>0.64575999999999567</v>
      </c>
    </row>
    <row r="16" spans="1:8" x14ac:dyDescent="0.3">
      <c r="A16" t="s">
        <v>23</v>
      </c>
      <c r="B16">
        <v>-303.90253999999999</v>
      </c>
      <c r="C16">
        <v>0.44802999999999998</v>
      </c>
      <c r="D16">
        <v>0.38840000000000002</v>
      </c>
      <c r="E16">
        <v>0.22148999999999999</v>
      </c>
      <c r="F16">
        <f t="shared" si="0"/>
        <v>-303.62141999999994</v>
      </c>
      <c r="G16">
        <f>F16-B16</f>
        <v>0.281120000000044</v>
      </c>
    </row>
    <row r="17" spans="1:8" x14ac:dyDescent="0.3">
      <c r="A17" t="s">
        <v>24</v>
      </c>
      <c r="B17">
        <v>-303.68414999999999</v>
      </c>
      <c r="C17">
        <v>0.42113</v>
      </c>
      <c r="D17">
        <v>0.39789000000000002</v>
      </c>
      <c r="E17">
        <v>0.21443999999999999</v>
      </c>
      <c r="F17">
        <f t="shared" si="0"/>
        <v>-303.44646999999998</v>
      </c>
      <c r="G17">
        <f>F17-B17</f>
        <v>0.23768000000001166</v>
      </c>
    </row>
    <row r="18" spans="1:8" x14ac:dyDescent="0.3">
      <c r="A18" t="s">
        <v>25</v>
      </c>
      <c r="B18">
        <v>-293.77805000000001</v>
      </c>
      <c r="C18">
        <v>3.3059999999999999E-2</v>
      </c>
      <c r="D18">
        <v>0.1171</v>
      </c>
      <c r="E18">
        <v>7.4399999999999994E-2</v>
      </c>
      <c r="F18">
        <f t="shared" si="0"/>
        <v>-293.78769</v>
      </c>
      <c r="G18">
        <f>F18-B18</f>
        <v>-9.639999999990323E-3</v>
      </c>
      <c r="H18" t="s">
        <v>39</v>
      </c>
    </row>
    <row r="20" spans="1:8" x14ac:dyDescent="0.3">
      <c r="A20" t="s">
        <v>26</v>
      </c>
      <c r="B20">
        <v>-22.085099</v>
      </c>
      <c r="C20">
        <v>0.69194</v>
      </c>
      <c r="D20">
        <v>0.82787999999999995</v>
      </c>
      <c r="E20">
        <v>0.12469</v>
      </c>
      <c r="F20">
        <f>B20+C20-D20+E20</f>
        <v>-22.096349</v>
      </c>
      <c r="G20">
        <f>F20-B20</f>
        <v>-1.1250000000000426E-2</v>
      </c>
    </row>
    <row r="21" spans="1:8" x14ac:dyDescent="0.3">
      <c r="A21" t="s">
        <v>27</v>
      </c>
      <c r="B21">
        <v>-7.1720145000000004</v>
      </c>
      <c r="C21">
        <v>0.27790999999999999</v>
      </c>
      <c r="D21">
        <v>0.40200999999999998</v>
      </c>
      <c r="E21">
        <v>8.992E-2</v>
      </c>
      <c r="F21">
        <f>B21+C21-D21+E21</f>
        <v>-7.2061944999999996</v>
      </c>
      <c r="G21">
        <f>F21-B21</f>
        <v>-3.4179999999999211E-2</v>
      </c>
    </row>
    <row r="22" spans="1:8" x14ac:dyDescent="0.3">
      <c r="A22" t="s">
        <v>28</v>
      </c>
      <c r="B22">
        <v>-18.437756</v>
      </c>
      <c r="C22">
        <v>0.92547999999999997</v>
      </c>
      <c r="D22">
        <v>0.70359000000000005</v>
      </c>
      <c r="E22">
        <v>0.12897</v>
      </c>
      <c r="F22">
        <f>B22+C22-D22+E22</f>
        <v>-18.086895999999999</v>
      </c>
      <c r="G22">
        <f>F22-B22</f>
        <v>0.35086000000000084</v>
      </c>
    </row>
    <row r="23" spans="1:8" x14ac:dyDescent="0.3">
      <c r="A23" t="s">
        <v>29</v>
      </c>
      <c r="B23">
        <v>-12.817458</v>
      </c>
      <c r="C23">
        <v>0.57623999999999997</v>
      </c>
      <c r="D23">
        <v>0.58320000000000005</v>
      </c>
      <c r="E23">
        <v>0.10285</v>
      </c>
      <c r="F23">
        <f>B23+C23-D23+E23</f>
        <v>-12.721568</v>
      </c>
      <c r="G23">
        <f>F23-B23</f>
        <v>9.5890000000000697E-2</v>
      </c>
    </row>
    <row r="25" spans="1:8" x14ac:dyDescent="0.3">
      <c r="A25" t="s">
        <v>30</v>
      </c>
      <c r="B25">
        <f>B21/2</f>
        <v>-3.5860072500000002</v>
      </c>
      <c r="F25">
        <f>F21/2</f>
        <v>-3.6030972499999998</v>
      </c>
      <c r="G25">
        <f>F25-B25</f>
        <v>-1.7089999999999606E-2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zoomScaleNormal="100" workbookViewId="0">
      <selection activeCell="I23" sqref="I23"/>
    </sheetView>
  </sheetViews>
  <sheetFormatPr defaultColWidth="8.5" defaultRowHeight="16.5" x14ac:dyDescent="0.3"/>
  <cols>
    <col min="1" max="8" width="10.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</v>
      </c>
    </row>
    <row r="2" spans="1:8" x14ac:dyDescent="0.3">
      <c r="A2" t="s">
        <v>7</v>
      </c>
      <c r="B2">
        <v>-311.58413999999999</v>
      </c>
      <c r="C2">
        <v>0.33109</v>
      </c>
      <c r="D2">
        <v>0.42298000000000002</v>
      </c>
      <c r="E2">
        <v>0.22151000000000001</v>
      </c>
      <c r="F2">
        <f t="shared" ref="F2:F17" si="0">B2+C2-D2+E2</f>
        <v>-311.45451999999995</v>
      </c>
      <c r="G2">
        <f>F2-B2</f>
        <v>0.12962000000004537</v>
      </c>
    </row>
    <row r="3" spans="1:8" x14ac:dyDescent="0.3">
      <c r="A3" t="s">
        <v>8</v>
      </c>
      <c r="B3">
        <v>-311.45328000000001</v>
      </c>
      <c r="C3">
        <v>0.32196000000000002</v>
      </c>
      <c r="D3">
        <v>0.44297999999999998</v>
      </c>
      <c r="E3">
        <v>0.22589999999999999</v>
      </c>
      <c r="F3">
        <f t="shared" si="0"/>
        <v>-311.34839999999997</v>
      </c>
      <c r="G3">
        <f>F3-B3</f>
        <v>0.10488000000003694</v>
      </c>
    </row>
    <row r="4" spans="1:8" x14ac:dyDescent="0.3">
      <c r="A4" t="s">
        <v>31</v>
      </c>
      <c r="B4">
        <v>-317.46931000000001</v>
      </c>
      <c r="C4">
        <v>0.65954000000000002</v>
      </c>
      <c r="D4">
        <v>0.53527000000000002</v>
      </c>
      <c r="E4">
        <v>0.28684999999999999</v>
      </c>
      <c r="F4">
        <f t="shared" si="0"/>
        <v>-317.05819000000002</v>
      </c>
      <c r="G4">
        <f>F4-B4</f>
        <v>0.41111999999998261</v>
      </c>
    </row>
    <row r="5" spans="1:8" x14ac:dyDescent="0.3">
      <c r="A5" t="s">
        <v>10</v>
      </c>
      <c r="B5">
        <v>-314.85646000000003</v>
      </c>
      <c r="C5">
        <v>0.63190000000000002</v>
      </c>
      <c r="D5">
        <v>0.49025999999999997</v>
      </c>
      <c r="E5">
        <v>0.26700000000000002</v>
      </c>
      <c r="F5">
        <f t="shared" si="0"/>
        <v>-314.44782000000004</v>
      </c>
      <c r="G5">
        <f>F5-B5</f>
        <v>0.40863999999999123</v>
      </c>
    </row>
    <row r="6" spans="1:8" x14ac:dyDescent="0.3">
      <c r="A6" t="s">
        <v>11</v>
      </c>
      <c r="B6">
        <v>-307.11649999999997</v>
      </c>
      <c r="C6">
        <v>0.22302</v>
      </c>
      <c r="D6">
        <v>0.29576000000000002</v>
      </c>
      <c r="E6">
        <v>0.14984</v>
      </c>
      <c r="F6">
        <f t="shared" si="0"/>
        <v>-307.03939999999994</v>
      </c>
      <c r="G6">
        <f>F6-B6</f>
        <v>7.7100000000029922E-2</v>
      </c>
    </row>
    <row r="7" spans="1:8" x14ac:dyDescent="0.3">
      <c r="A7" t="s">
        <v>12</v>
      </c>
      <c r="B7">
        <v>-307.11358000000001</v>
      </c>
      <c r="C7">
        <v>0.26783000000000001</v>
      </c>
      <c r="D7">
        <v>0.40693000000000001</v>
      </c>
      <c r="E7">
        <v>0.22778999999999999</v>
      </c>
      <c r="F7">
        <f t="shared" si="0"/>
        <v>-307.02488999999997</v>
      </c>
      <c r="G7">
        <f>F7-B7</f>
        <v>8.8690000000042346E-2</v>
      </c>
    </row>
    <row r="8" spans="1:8" x14ac:dyDescent="0.3">
      <c r="A8" t="s">
        <v>32</v>
      </c>
      <c r="B8">
        <v>-314.95218</v>
      </c>
      <c r="C8">
        <v>0.67357</v>
      </c>
      <c r="D8">
        <v>0.67393999999999998</v>
      </c>
      <c r="E8">
        <v>0.37269000000000002</v>
      </c>
      <c r="F8">
        <f t="shared" si="0"/>
        <v>-314.57986000000005</v>
      </c>
      <c r="G8">
        <f>F8-B8</f>
        <v>0.37231999999994514</v>
      </c>
    </row>
    <row r="9" spans="1:8" x14ac:dyDescent="0.3">
      <c r="A9" t="s">
        <v>14</v>
      </c>
      <c r="B9">
        <v>-311.15940999999998</v>
      </c>
      <c r="C9">
        <v>0.5917</v>
      </c>
      <c r="D9">
        <v>0.41300999999999999</v>
      </c>
      <c r="E9">
        <v>0.23227</v>
      </c>
      <c r="F9">
        <f t="shared" si="0"/>
        <v>-310.74844999999993</v>
      </c>
      <c r="G9">
        <f>F9-B9</f>
        <v>0.41096000000004551</v>
      </c>
    </row>
    <row r="10" spans="1:8" x14ac:dyDescent="0.3">
      <c r="A10" t="s">
        <v>33</v>
      </c>
      <c r="B10">
        <v>-317.7627</v>
      </c>
      <c r="C10">
        <v>0.90197000000000005</v>
      </c>
      <c r="D10">
        <v>0.64139000000000002</v>
      </c>
      <c r="E10">
        <v>0.35421999999999998</v>
      </c>
      <c r="F10">
        <f t="shared" si="0"/>
        <v>-317.14789999999999</v>
      </c>
      <c r="G10">
        <f>F10-B10</f>
        <v>0.61480000000000246</v>
      </c>
    </row>
    <row r="11" spans="1:8" x14ac:dyDescent="0.3">
      <c r="A11" t="s">
        <v>17</v>
      </c>
      <c r="B11">
        <v>-314.86273999999997</v>
      </c>
      <c r="C11">
        <v>0.85585</v>
      </c>
      <c r="D11">
        <v>0.42098999999999998</v>
      </c>
      <c r="E11">
        <v>0.22203999999999999</v>
      </c>
      <c r="F11">
        <f t="shared" si="0"/>
        <v>-314.20584000000002</v>
      </c>
      <c r="G11">
        <f>F11-B11</f>
        <v>0.65689999999995052</v>
      </c>
    </row>
    <row r="12" spans="1:8" x14ac:dyDescent="0.3">
      <c r="A12" t="s">
        <v>16</v>
      </c>
      <c r="B12">
        <v>-315.11243999999999</v>
      </c>
      <c r="C12">
        <v>0.90271000000000001</v>
      </c>
      <c r="D12">
        <v>0.36775999999999998</v>
      </c>
      <c r="E12">
        <v>0.20207</v>
      </c>
      <c r="F12">
        <f t="shared" si="0"/>
        <v>-314.37541999999996</v>
      </c>
      <c r="G12">
        <f>F12-B12</f>
        <v>0.73702000000002954</v>
      </c>
    </row>
    <row r="13" spans="1:8" x14ac:dyDescent="0.3">
      <c r="A13" t="s">
        <v>18</v>
      </c>
      <c r="B13">
        <v>-307.60448000000002</v>
      </c>
      <c r="C13">
        <v>0.48802000000000001</v>
      </c>
      <c r="D13">
        <v>0.35758000000000001</v>
      </c>
      <c r="E13">
        <v>0.20383999999999999</v>
      </c>
      <c r="F13">
        <f t="shared" si="0"/>
        <v>-307.27019999999999</v>
      </c>
      <c r="G13">
        <f>F13-B13</f>
        <v>0.33428000000003522</v>
      </c>
    </row>
    <row r="14" spans="1:8" x14ac:dyDescent="0.3">
      <c r="A14" t="s">
        <v>20</v>
      </c>
      <c r="B14">
        <v>-302.87328000000002</v>
      </c>
      <c r="C14">
        <v>0.1817</v>
      </c>
      <c r="D14">
        <v>0.35718</v>
      </c>
      <c r="E14">
        <v>0.20047999999999999</v>
      </c>
      <c r="F14">
        <f t="shared" si="0"/>
        <v>-302.84828000000005</v>
      </c>
      <c r="G14">
        <f>F14-B14</f>
        <v>2.4999999999977263E-2</v>
      </c>
    </row>
    <row r="15" spans="1:8" x14ac:dyDescent="0.3">
      <c r="A15" t="s">
        <v>22</v>
      </c>
      <c r="B15">
        <v>-311.27616999999998</v>
      </c>
      <c r="C15">
        <v>0.77407999999999999</v>
      </c>
      <c r="D15">
        <v>0.28949999999999998</v>
      </c>
      <c r="E15">
        <v>0.16835</v>
      </c>
      <c r="F15">
        <f t="shared" si="0"/>
        <v>-310.62323999999995</v>
      </c>
      <c r="G15">
        <f>F15-B15</f>
        <v>0.65293000000002621</v>
      </c>
    </row>
    <row r="16" spans="1:8" x14ac:dyDescent="0.3">
      <c r="A16" t="s">
        <v>34</v>
      </c>
      <c r="B16">
        <v>-306.05252999999999</v>
      </c>
      <c r="C16">
        <v>0.42462</v>
      </c>
      <c r="D16">
        <v>0.29603000000000002</v>
      </c>
      <c r="E16">
        <v>0.17054</v>
      </c>
      <c r="F16">
        <f t="shared" si="0"/>
        <v>-305.75339999999994</v>
      </c>
      <c r="G16">
        <f>F16-B16</f>
        <v>0.29913000000004786</v>
      </c>
    </row>
    <row r="17" spans="1:8" x14ac:dyDescent="0.3">
      <c r="A17" t="s">
        <v>25</v>
      </c>
      <c r="B17">
        <v>-295.76544000000001</v>
      </c>
      <c r="C17">
        <v>2.9270000000000001E-2</v>
      </c>
      <c r="D17">
        <v>0.12597</v>
      </c>
      <c r="E17">
        <v>7.7189999999999995E-2</v>
      </c>
      <c r="F17">
        <f t="shared" si="0"/>
        <v>-295.78495000000004</v>
      </c>
      <c r="G17">
        <f>F17-B17</f>
        <v>-1.9510000000025229E-2</v>
      </c>
      <c r="H17" t="s">
        <v>40</v>
      </c>
    </row>
    <row r="19" spans="1:8" x14ac:dyDescent="0.3">
      <c r="A19" t="s">
        <v>26</v>
      </c>
      <c r="B19">
        <v>-22.085099</v>
      </c>
      <c r="C19">
        <v>0.69194</v>
      </c>
      <c r="D19">
        <v>0.82787999999999995</v>
      </c>
      <c r="E19">
        <v>0.12469</v>
      </c>
      <c r="F19">
        <f>B19+C19-D19+E19</f>
        <v>-22.096349</v>
      </c>
      <c r="G19">
        <f>F19-B19</f>
        <v>-1.1250000000000426E-2</v>
      </c>
    </row>
    <row r="20" spans="1:8" x14ac:dyDescent="0.3">
      <c r="A20" t="s">
        <v>27</v>
      </c>
      <c r="B20">
        <v>-7.1720145000000004</v>
      </c>
      <c r="C20">
        <v>0.27790999999999999</v>
      </c>
      <c r="D20">
        <v>0.40200999999999998</v>
      </c>
      <c r="E20">
        <v>8.992E-2</v>
      </c>
      <c r="F20">
        <f>B20+C20-D20+E20</f>
        <v>-7.2061944999999996</v>
      </c>
      <c r="G20">
        <f>F20-B20</f>
        <v>-3.4179999999999211E-2</v>
      </c>
    </row>
    <row r="21" spans="1:8" x14ac:dyDescent="0.3">
      <c r="A21" t="s">
        <v>28</v>
      </c>
      <c r="B21">
        <v>-18.437756</v>
      </c>
      <c r="C21">
        <v>0.92547999999999997</v>
      </c>
      <c r="D21">
        <v>0.70359000000000005</v>
      </c>
      <c r="E21">
        <v>0.12897</v>
      </c>
      <c r="F21">
        <f>B21+C21-D21+E21</f>
        <v>-18.086895999999999</v>
      </c>
      <c r="G21">
        <f>F21-B21</f>
        <v>0.35086000000000084</v>
      </c>
    </row>
    <row r="22" spans="1:8" x14ac:dyDescent="0.3">
      <c r="A22" t="s">
        <v>29</v>
      </c>
      <c r="B22">
        <v>-12.817458</v>
      </c>
      <c r="C22">
        <v>0.57623999999999997</v>
      </c>
      <c r="D22">
        <v>0.58320000000000005</v>
      </c>
      <c r="E22">
        <v>0.10285</v>
      </c>
      <c r="F22">
        <f>B22+C22-D22+E22</f>
        <v>-12.721568</v>
      </c>
      <c r="G22">
        <f>F22-B22</f>
        <v>9.5890000000000697E-2</v>
      </c>
    </row>
    <row r="24" spans="1:8" x14ac:dyDescent="0.3">
      <c r="A24" t="s">
        <v>30</v>
      </c>
      <c r="B24">
        <f>B20/2</f>
        <v>-3.5860072500000002</v>
      </c>
      <c r="F24">
        <f>F20/2</f>
        <v>-3.6030972499999998</v>
      </c>
      <c r="G24">
        <f>F24-B24</f>
        <v>-1.7089999999999606E-2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Normal="100" workbookViewId="0">
      <selection activeCell="H1" sqref="H1"/>
    </sheetView>
  </sheetViews>
  <sheetFormatPr defaultColWidth="8.5" defaultRowHeight="16.5" x14ac:dyDescent="0.3"/>
  <cols>
    <col min="1" max="8" width="10.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</v>
      </c>
    </row>
    <row r="2" spans="1:8" x14ac:dyDescent="0.3">
      <c r="A2" t="s">
        <v>35</v>
      </c>
      <c r="B2">
        <v>-313.02879999999999</v>
      </c>
      <c r="C2">
        <v>0.31578000000000001</v>
      </c>
      <c r="D2">
        <v>0.44441000000000003</v>
      </c>
      <c r="E2">
        <v>0.23078000000000001</v>
      </c>
      <c r="F2">
        <f t="shared" ref="F2:F14" si="0">B2+C2-D2+E2</f>
        <v>-312.92665</v>
      </c>
      <c r="G2">
        <f>F2-B2</f>
        <v>0.10214999999999463</v>
      </c>
    </row>
    <row r="3" spans="1:8" x14ac:dyDescent="0.3">
      <c r="A3" t="s">
        <v>36</v>
      </c>
      <c r="B3">
        <v>-313.4468</v>
      </c>
      <c r="C3">
        <v>0.32854</v>
      </c>
      <c r="D3">
        <v>0.43087999999999999</v>
      </c>
      <c r="E3">
        <v>0.22142999999999999</v>
      </c>
      <c r="F3">
        <f t="shared" si="0"/>
        <v>-313.32771000000002</v>
      </c>
      <c r="G3">
        <f>F3-B3</f>
        <v>0.1190899999999715</v>
      </c>
    </row>
    <row r="4" spans="1:8" x14ac:dyDescent="0.3">
      <c r="A4" t="s">
        <v>37</v>
      </c>
      <c r="B4">
        <v>-313.55059</v>
      </c>
      <c r="C4">
        <v>0.33273000000000003</v>
      </c>
      <c r="D4">
        <v>0.41993999999999998</v>
      </c>
      <c r="E4">
        <v>0.21965999999999999</v>
      </c>
      <c r="F4">
        <f t="shared" si="0"/>
        <v>-313.41813999999999</v>
      </c>
      <c r="G4">
        <f>F4-B4</f>
        <v>0.13245000000000573</v>
      </c>
    </row>
    <row r="5" spans="1:8" x14ac:dyDescent="0.3">
      <c r="A5" t="s">
        <v>10</v>
      </c>
      <c r="B5">
        <v>-316.81112999999999</v>
      </c>
      <c r="C5">
        <v>0.65259</v>
      </c>
      <c r="D5">
        <v>0.50904000000000005</v>
      </c>
      <c r="E5">
        <v>0.27862999999999999</v>
      </c>
      <c r="F5">
        <f t="shared" si="0"/>
        <v>-316.38895000000002</v>
      </c>
      <c r="G5">
        <f>F5-B5</f>
        <v>0.42217999999996891</v>
      </c>
    </row>
    <row r="6" spans="1:8" x14ac:dyDescent="0.3">
      <c r="A6" t="s">
        <v>12</v>
      </c>
      <c r="B6">
        <v>-309.16304000000002</v>
      </c>
      <c r="C6">
        <v>0.27782000000000001</v>
      </c>
      <c r="D6">
        <v>0.39657999999999999</v>
      </c>
      <c r="E6">
        <v>0.22339000000000001</v>
      </c>
      <c r="F6">
        <f t="shared" si="0"/>
        <v>-309.05840999999998</v>
      </c>
      <c r="G6">
        <f>F6-B6</f>
        <v>0.10463000000004286</v>
      </c>
    </row>
    <row r="7" spans="1:8" x14ac:dyDescent="0.3">
      <c r="A7" t="s">
        <v>14</v>
      </c>
      <c r="B7">
        <v>-313.11201999999997</v>
      </c>
      <c r="C7">
        <v>0.59209000000000001</v>
      </c>
      <c r="D7">
        <v>0.41017999999999999</v>
      </c>
      <c r="E7">
        <v>0.23171</v>
      </c>
      <c r="F7">
        <f t="shared" si="0"/>
        <v>-312.69839999999999</v>
      </c>
      <c r="G7">
        <f>F7-B7</f>
        <v>0.41361999999998034</v>
      </c>
    </row>
    <row r="8" spans="1:8" x14ac:dyDescent="0.3">
      <c r="A8" t="s">
        <v>16</v>
      </c>
      <c r="B8">
        <v>-317.59829000000002</v>
      </c>
      <c r="C8">
        <v>0.91617999999999999</v>
      </c>
      <c r="D8">
        <v>0.34539999999999998</v>
      </c>
      <c r="E8">
        <v>0.19469</v>
      </c>
      <c r="F8">
        <f t="shared" si="0"/>
        <v>-316.83282000000003</v>
      </c>
      <c r="G8">
        <f>F8-B8</f>
        <v>0.76546999999999343</v>
      </c>
    </row>
    <row r="9" spans="1:8" x14ac:dyDescent="0.3">
      <c r="A9" t="s">
        <v>17</v>
      </c>
      <c r="B9">
        <v>-316.81716</v>
      </c>
      <c r="C9">
        <v>0.85472999999999999</v>
      </c>
      <c r="D9">
        <v>0.41789999999999999</v>
      </c>
      <c r="E9">
        <v>0.22156000000000001</v>
      </c>
      <c r="F9">
        <f t="shared" si="0"/>
        <v>-316.15876999999995</v>
      </c>
      <c r="G9">
        <f>F9-B9</f>
        <v>0.65839000000005399</v>
      </c>
    </row>
    <row r="10" spans="1:8" x14ac:dyDescent="0.3">
      <c r="A10" t="s">
        <v>19</v>
      </c>
      <c r="B10">
        <v>-304.95688000000001</v>
      </c>
      <c r="C10">
        <v>0.21092</v>
      </c>
      <c r="D10">
        <v>0.29777999999999999</v>
      </c>
      <c r="E10">
        <v>0.17856</v>
      </c>
      <c r="F10">
        <f t="shared" si="0"/>
        <v>-304.86518000000001</v>
      </c>
      <c r="G10">
        <f>F10-B10</f>
        <v>9.1700000000003001E-2</v>
      </c>
    </row>
    <row r="11" spans="1:8" x14ac:dyDescent="0.3">
      <c r="A11" t="s">
        <v>21</v>
      </c>
      <c r="B11">
        <v>-304.76907999999997</v>
      </c>
      <c r="C11">
        <v>0.18173</v>
      </c>
      <c r="D11">
        <v>0.35685</v>
      </c>
      <c r="E11">
        <v>0.20050999999999999</v>
      </c>
      <c r="F11">
        <f t="shared" si="0"/>
        <v>-304.74368999999996</v>
      </c>
      <c r="G11">
        <f>F11-B11</f>
        <v>2.5390000000015789E-2</v>
      </c>
    </row>
    <row r="12" spans="1:8" x14ac:dyDescent="0.3">
      <c r="A12" t="s">
        <v>23</v>
      </c>
      <c r="B12">
        <v>-308.39157999999998</v>
      </c>
      <c r="C12">
        <v>0.38283</v>
      </c>
      <c r="D12">
        <v>0.24723999999999999</v>
      </c>
      <c r="E12">
        <v>0.13628000000000001</v>
      </c>
      <c r="F12">
        <f t="shared" si="0"/>
        <v>-308.11970999999994</v>
      </c>
      <c r="G12">
        <f>F12-B12</f>
        <v>0.27187000000003536</v>
      </c>
    </row>
    <row r="13" spans="1:8" x14ac:dyDescent="0.3">
      <c r="A13" t="s">
        <v>24</v>
      </c>
      <c r="B13">
        <v>-307.97876000000002</v>
      </c>
      <c r="C13">
        <v>0.42437999999999998</v>
      </c>
      <c r="D13">
        <v>0.29752000000000001</v>
      </c>
      <c r="E13">
        <v>0.17116000000000001</v>
      </c>
      <c r="F13">
        <f t="shared" si="0"/>
        <v>-307.68074000000007</v>
      </c>
      <c r="G13">
        <f>F13-B13</f>
        <v>0.29801999999995132</v>
      </c>
    </row>
    <row r="14" spans="1:8" x14ac:dyDescent="0.3">
      <c r="A14" t="s">
        <v>25</v>
      </c>
      <c r="B14">
        <v>-297.80183</v>
      </c>
      <c r="C14">
        <v>3.2329999999999998E-2</v>
      </c>
      <c r="D14">
        <v>0.11874999999999999</v>
      </c>
      <c r="E14">
        <v>7.4929999999999997E-2</v>
      </c>
      <c r="F14">
        <f t="shared" si="0"/>
        <v>-297.81331999999998</v>
      </c>
      <c r="G14">
        <f>F14-B14</f>
        <v>-1.1489999999980682E-2</v>
      </c>
      <c r="H14" t="s">
        <v>41</v>
      </c>
    </row>
    <row r="16" spans="1:8" x14ac:dyDescent="0.3">
      <c r="A16" t="s">
        <v>26</v>
      </c>
      <c r="B16">
        <v>-22.085099</v>
      </c>
      <c r="C16">
        <v>0.69194</v>
      </c>
      <c r="D16">
        <v>0.82787999999999995</v>
      </c>
      <c r="E16">
        <v>0.12469</v>
      </c>
      <c r="F16">
        <f>B16+C16-D16+E16</f>
        <v>-22.096349</v>
      </c>
      <c r="G16">
        <f>F16-B16</f>
        <v>-1.1250000000000426E-2</v>
      </c>
    </row>
    <row r="17" spans="1:7" x14ac:dyDescent="0.3">
      <c r="A17" t="s">
        <v>27</v>
      </c>
      <c r="B17">
        <v>-7.1720145000000004</v>
      </c>
      <c r="C17">
        <v>0.27790999999999999</v>
      </c>
      <c r="D17">
        <v>0.40200999999999998</v>
      </c>
      <c r="E17">
        <v>8.992E-2</v>
      </c>
      <c r="F17">
        <f>B17+C17-D17+E17</f>
        <v>-7.2061944999999996</v>
      </c>
      <c r="G17">
        <f>F17-B17</f>
        <v>-3.4179999999999211E-2</v>
      </c>
    </row>
    <row r="18" spans="1:7" x14ac:dyDescent="0.3">
      <c r="A18" t="s">
        <v>28</v>
      </c>
      <c r="B18">
        <v>-18.437756</v>
      </c>
      <c r="C18">
        <v>0.92547999999999997</v>
      </c>
      <c r="D18">
        <v>0.70359000000000005</v>
      </c>
      <c r="E18">
        <v>0.12897</v>
      </c>
      <c r="F18">
        <f>B18+C18-D18+E18</f>
        <v>-18.086895999999999</v>
      </c>
      <c r="G18">
        <f>F18-B18</f>
        <v>0.35086000000000084</v>
      </c>
    </row>
    <row r="19" spans="1:7" x14ac:dyDescent="0.3">
      <c r="A19" t="s">
        <v>29</v>
      </c>
      <c r="B19">
        <v>-12.817458</v>
      </c>
      <c r="C19">
        <v>0.57623999999999997</v>
      </c>
      <c r="D19">
        <v>0.58320000000000005</v>
      </c>
      <c r="E19">
        <v>0.10285</v>
      </c>
      <c r="F19">
        <f>B19+C19-D19+E19</f>
        <v>-12.721568</v>
      </c>
      <c r="G19">
        <f>F19-B19</f>
        <v>9.5890000000000697E-2</v>
      </c>
    </row>
    <row r="21" spans="1:7" x14ac:dyDescent="0.3">
      <c r="A21" t="s">
        <v>30</v>
      </c>
      <c r="B21">
        <f>B17/2</f>
        <v>-3.5860072500000002</v>
      </c>
      <c r="F21">
        <f>F17/2</f>
        <v>-3.6030972499999998</v>
      </c>
      <c r="G21">
        <f>F21-B21</f>
        <v>-1.7089999999999606E-2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"/>
  <sheetViews>
    <sheetView zoomScaleNormal="100" workbookViewId="0">
      <selection activeCell="H14" sqref="H14"/>
    </sheetView>
  </sheetViews>
  <sheetFormatPr defaultColWidth="8.5" defaultRowHeight="16.5" x14ac:dyDescent="0.3"/>
  <cols>
    <col min="1" max="8" width="10.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</v>
      </c>
    </row>
    <row r="2" spans="1:8" x14ac:dyDescent="0.3">
      <c r="A2" t="s">
        <v>35</v>
      </c>
      <c r="B2">
        <v>-314.74525999999997</v>
      </c>
      <c r="C2">
        <v>0.31463999999999998</v>
      </c>
      <c r="D2">
        <v>0.46256999999999998</v>
      </c>
      <c r="E2">
        <v>0.23216999999999999</v>
      </c>
      <c r="F2">
        <f t="shared" ref="F2:F13" si="0">B2+C2-D2+E2</f>
        <v>-314.66102000000001</v>
      </c>
      <c r="G2">
        <f>F2-B2</f>
        <v>8.4239999999965676E-2</v>
      </c>
    </row>
    <row r="3" spans="1:8" x14ac:dyDescent="0.3">
      <c r="A3" t="s">
        <v>36</v>
      </c>
      <c r="B3">
        <v>-314.90987000000001</v>
      </c>
      <c r="C3">
        <v>0.32438</v>
      </c>
      <c r="D3">
        <v>0.47450999999999999</v>
      </c>
      <c r="E3">
        <v>0.22419</v>
      </c>
      <c r="F3">
        <f t="shared" si="0"/>
        <v>-314.83580999999998</v>
      </c>
      <c r="G3">
        <f>F3-B3</f>
        <v>7.4060000000031323E-2</v>
      </c>
    </row>
    <row r="4" spans="1:8" x14ac:dyDescent="0.3">
      <c r="A4" t="s">
        <v>10</v>
      </c>
      <c r="B4">
        <v>-318.47050999999999</v>
      </c>
      <c r="C4">
        <v>0.65712000000000004</v>
      </c>
      <c r="D4">
        <v>0.49632999999999999</v>
      </c>
      <c r="E4">
        <v>0.27545999999999998</v>
      </c>
      <c r="F4">
        <f t="shared" si="0"/>
        <v>-318.03425999999996</v>
      </c>
      <c r="G4">
        <f>F4-B4</f>
        <v>0.43625000000002956</v>
      </c>
    </row>
    <row r="5" spans="1:8" x14ac:dyDescent="0.3">
      <c r="A5" t="s">
        <v>12</v>
      </c>
      <c r="B5">
        <v>-310.62646000000001</v>
      </c>
      <c r="C5">
        <v>0.27211000000000002</v>
      </c>
      <c r="D5">
        <v>0.40118999999999999</v>
      </c>
      <c r="E5">
        <v>0.22541</v>
      </c>
      <c r="F5">
        <f t="shared" si="0"/>
        <v>-310.53012999999999</v>
      </c>
      <c r="G5">
        <f>F5-B5</f>
        <v>9.6330000000023119E-2</v>
      </c>
    </row>
    <row r="6" spans="1:8" x14ac:dyDescent="0.3">
      <c r="A6" t="s">
        <v>14</v>
      </c>
      <c r="B6">
        <v>-314.79064</v>
      </c>
      <c r="C6">
        <v>0.59421999999999997</v>
      </c>
      <c r="D6">
        <v>0.40506999999999999</v>
      </c>
      <c r="E6">
        <v>0.23014999999999999</v>
      </c>
      <c r="F6">
        <f t="shared" si="0"/>
        <v>-314.37134000000003</v>
      </c>
      <c r="G6">
        <f>F6-B6</f>
        <v>0.41929999999996426</v>
      </c>
    </row>
    <row r="7" spans="1:8" x14ac:dyDescent="0.3">
      <c r="A7" t="s">
        <v>16</v>
      </c>
      <c r="B7">
        <v>-319.07972999999998</v>
      </c>
      <c r="C7">
        <v>0.91091</v>
      </c>
      <c r="D7">
        <v>0.36559999999999998</v>
      </c>
      <c r="E7">
        <v>0.19792999999999999</v>
      </c>
      <c r="F7">
        <f t="shared" si="0"/>
        <v>-318.33648999999997</v>
      </c>
      <c r="G7">
        <f>F7-B7</f>
        <v>0.74324000000001433</v>
      </c>
    </row>
    <row r="8" spans="1:8" x14ac:dyDescent="0.3">
      <c r="A8" t="s">
        <v>17</v>
      </c>
      <c r="B8">
        <v>-318.45312000000001</v>
      </c>
      <c r="C8">
        <v>0.85980000000000001</v>
      </c>
      <c r="D8">
        <v>0.41278999999999999</v>
      </c>
      <c r="E8">
        <v>0.21970999999999999</v>
      </c>
      <c r="F8">
        <f t="shared" si="0"/>
        <v>-317.78639999999996</v>
      </c>
      <c r="G8">
        <f>F8-B8</f>
        <v>0.66672000000005482</v>
      </c>
    </row>
    <row r="9" spans="1:8" x14ac:dyDescent="0.3">
      <c r="A9" t="s">
        <v>19</v>
      </c>
      <c r="B9">
        <v>-306.83926000000002</v>
      </c>
      <c r="C9">
        <v>0.20937</v>
      </c>
      <c r="D9">
        <v>0.29693999999999998</v>
      </c>
      <c r="E9">
        <v>0.17879</v>
      </c>
      <c r="F9">
        <f t="shared" si="0"/>
        <v>-306.74804000000006</v>
      </c>
      <c r="G9">
        <f>F9-B9</f>
        <v>9.121999999996433E-2</v>
      </c>
    </row>
    <row r="10" spans="1:8" x14ac:dyDescent="0.3">
      <c r="A10" t="s">
        <v>21</v>
      </c>
      <c r="B10">
        <v>-306.39341000000002</v>
      </c>
      <c r="C10">
        <v>0.18121000000000001</v>
      </c>
      <c r="D10">
        <v>0.36004000000000003</v>
      </c>
      <c r="E10">
        <v>0.20096</v>
      </c>
      <c r="F10">
        <f t="shared" si="0"/>
        <v>-306.37128000000001</v>
      </c>
      <c r="G10">
        <f>F10-B10</f>
        <v>2.2130000000004202E-2</v>
      </c>
    </row>
    <row r="11" spans="1:8" x14ac:dyDescent="0.3">
      <c r="A11" t="s">
        <v>23</v>
      </c>
      <c r="B11">
        <v>-309.83780000000002</v>
      </c>
      <c r="C11">
        <v>0.38377</v>
      </c>
      <c r="D11">
        <v>0.23837</v>
      </c>
      <c r="E11">
        <v>0.13496</v>
      </c>
      <c r="F11">
        <f t="shared" si="0"/>
        <v>-309.55743999999999</v>
      </c>
      <c r="G11">
        <f>F11-B11</f>
        <v>0.28036000000003014</v>
      </c>
    </row>
    <row r="12" spans="1:8" x14ac:dyDescent="0.3">
      <c r="A12" t="s">
        <v>24</v>
      </c>
      <c r="B12">
        <v>-309.61984000000001</v>
      </c>
      <c r="C12">
        <v>0.42736000000000002</v>
      </c>
      <c r="D12">
        <v>0.29193999999999998</v>
      </c>
      <c r="E12">
        <v>0.16969000000000001</v>
      </c>
      <c r="F12">
        <f t="shared" si="0"/>
        <v>-309.31473</v>
      </c>
      <c r="G12">
        <f>F12-B12</f>
        <v>0.30511000000001332</v>
      </c>
    </row>
    <row r="13" spans="1:8" x14ac:dyDescent="0.3">
      <c r="A13" t="s">
        <v>25</v>
      </c>
      <c r="B13">
        <v>-299.25556</v>
      </c>
      <c r="C13">
        <v>3.2210000000000003E-2</v>
      </c>
      <c r="D13">
        <v>0.1191</v>
      </c>
      <c r="E13">
        <v>7.5029999999999999E-2</v>
      </c>
      <c r="F13">
        <f t="shared" si="0"/>
        <v>-299.26741999999996</v>
      </c>
      <c r="G13">
        <f>F13-B13</f>
        <v>-1.1859999999956017E-2</v>
      </c>
      <c r="H13" t="s">
        <v>42</v>
      </c>
    </row>
    <row r="15" spans="1:8" x14ac:dyDescent="0.3">
      <c r="A15" t="s">
        <v>26</v>
      </c>
      <c r="B15">
        <v>-22.085099</v>
      </c>
      <c r="C15">
        <v>0.69194</v>
      </c>
      <c r="D15">
        <v>0.82787999999999995</v>
      </c>
      <c r="E15">
        <v>0.12469</v>
      </c>
      <c r="F15">
        <f>B15+C15-D15+E15</f>
        <v>-22.096349</v>
      </c>
      <c r="G15">
        <f>F15-B15</f>
        <v>-1.1250000000000426E-2</v>
      </c>
    </row>
    <row r="16" spans="1:8" x14ac:dyDescent="0.3">
      <c r="A16" t="s">
        <v>27</v>
      </c>
      <c r="B16">
        <v>-7.1720145000000004</v>
      </c>
      <c r="C16">
        <v>0.27790999999999999</v>
      </c>
      <c r="D16">
        <v>0.40200999999999998</v>
      </c>
      <c r="E16">
        <v>8.992E-2</v>
      </c>
      <c r="F16">
        <f>B16+C16-D16+E16</f>
        <v>-7.2061944999999996</v>
      </c>
      <c r="G16">
        <f>F16-B16</f>
        <v>-3.4179999999999211E-2</v>
      </c>
    </row>
    <row r="17" spans="1:7" x14ac:dyDescent="0.3">
      <c r="A17" t="s">
        <v>28</v>
      </c>
      <c r="B17">
        <v>-18.437756</v>
      </c>
      <c r="C17">
        <v>0.92547999999999997</v>
      </c>
      <c r="D17">
        <v>0.70359000000000005</v>
      </c>
      <c r="E17">
        <v>0.12897</v>
      </c>
      <c r="F17">
        <f>B17+C17-D17+E17</f>
        <v>-18.086895999999999</v>
      </c>
      <c r="G17">
        <f>F17-B17</f>
        <v>0.35086000000000084</v>
      </c>
    </row>
    <row r="18" spans="1:7" x14ac:dyDescent="0.3">
      <c r="A18" t="s">
        <v>29</v>
      </c>
      <c r="B18">
        <v>-12.817458</v>
      </c>
      <c r="C18">
        <v>0.57623999999999997</v>
      </c>
      <c r="D18">
        <v>0.58320000000000005</v>
      </c>
      <c r="E18">
        <v>0.10285</v>
      </c>
      <c r="F18">
        <f>B18+C18-D18+E18</f>
        <v>-12.721568</v>
      </c>
      <c r="G18">
        <f>F18-B18</f>
        <v>9.5890000000000697E-2</v>
      </c>
    </row>
    <row r="20" spans="1:7" x14ac:dyDescent="0.3">
      <c r="A20" t="s">
        <v>30</v>
      </c>
      <c r="B20">
        <f>B16/2</f>
        <v>-3.5860072500000002</v>
      </c>
      <c r="F20">
        <f>F16/2</f>
        <v>-3.6030972499999998</v>
      </c>
      <c r="G20">
        <f>F20-B20</f>
        <v>-1.7089999999999606E-2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Al</vt:lpstr>
      <vt:lpstr>FeAl</vt:lpstr>
      <vt:lpstr>Fe2Al</vt:lpstr>
      <vt:lpstr>Fe3Al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GiBeom Sim</dc:creator>
  <dc:description/>
  <cp:lastModifiedBy>심기범</cp:lastModifiedBy>
  <cp:revision>10</cp:revision>
  <dcterms:created xsi:type="dcterms:W3CDTF">2015-06-05T18:19:34Z</dcterms:created>
  <dcterms:modified xsi:type="dcterms:W3CDTF">2025-08-05T13:10:57Z</dcterms:modified>
  <dc:language>en-US</dc:language>
</cp:coreProperties>
</file>